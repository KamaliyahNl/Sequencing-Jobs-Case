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35FB256F-C341-4435-8BF0-08BD0DC7E5AF}" xr6:coauthVersionLast="47" xr6:coauthVersionMax="47" xr10:uidLastSave="{00000000-0000-0000-0000-000000000000}"/>
  <bookViews>
    <workbookView xWindow="-120" yWindow="-120" windowWidth="20730" windowHeight="11040" xr2:uid="{7226A549-4413-4777-B1DD-CABE8E8C9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" l="1"/>
  <c r="G37" i="1"/>
  <c r="G38" i="1" s="1"/>
  <c r="E11" i="1"/>
  <c r="E20" i="1"/>
  <c r="E29" i="1"/>
  <c r="E38" i="1"/>
  <c r="F33" i="1"/>
  <c r="G33" i="1" s="1"/>
  <c r="F24" i="1"/>
  <c r="H24" i="1" s="1"/>
  <c r="F15" i="1"/>
  <c r="G15" i="1" s="1"/>
  <c r="F6" i="1"/>
  <c r="F16" i="1" l="1"/>
  <c r="F17" i="1" s="1"/>
  <c r="F18" i="1" s="1"/>
  <c r="F19" i="1" s="1"/>
  <c r="H15" i="1"/>
  <c r="F25" i="1"/>
  <c r="H25" i="1" s="1"/>
  <c r="H33" i="1"/>
  <c r="F34" i="1"/>
  <c r="F35" i="1" s="1"/>
  <c r="F36" i="1" s="1"/>
  <c r="F7" i="1"/>
  <c r="H7" i="1" s="1"/>
  <c r="G24" i="1"/>
  <c r="H6" i="1"/>
  <c r="G6" i="1"/>
  <c r="H16" i="1"/>
  <c r="G17" i="1"/>
  <c r="H17" i="1" l="1"/>
  <c r="G34" i="1"/>
  <c r="F26" i="1"/>
  <c r="F27" i="1" s="1"/>
  <c r="F28" i="1" s="1"/>
  <c r="H28" i="1" s="1"/>
  <c r="F20" i="1"/>
  <c r="G7" i="1"/>
  <c r="G25" i="1"/>
  <c r="F8" i="1"/>
  <c r="G8" i="1" s="1"/>
  <c r="F29" i="1"/>
  <c r="H34" i="1"/>
  <c r="H26" i="1"/>
  <c r="G28" i="1"/>
  <c r="H18" i="1"/>
  <c r="G18" i="1"/>
  <c r="G16" i="1"/>
  <c r="P17" i="1" l="1"/>
  <c r="N17" i="1"/>
  <c r="O17" i="1"/>
  <c r="P18" i="1"/>
  <c r="N18" i="1"/>
  <c r="O18" i="1"/>
  <c r="G26" i="1"/>
  <c r="G29" i="1" s="1"/>
  <c r="G27" i="1"/>
  <c r="H27" i="1"/>
  <c r="H29" i="1" s="1"/>
  <c r="Q18" i="1" s="1"/>
  <c r="F9" i="1"/>
  <c r="H8" i="1"/>
  <c r="G35" i="1"/>
  <c r="H35" i="1"/>
  <c r="H19" i="1"/>
  <c r="H20" i="1" s="1"/>
  <c r="Q17" i="1" s="1"/>
  <c r="G19" i="1"/>
  <c r="G20" i="1" s="1"/>
  <c r="F10" i="1" l="1"/>
  <c r="H9" i="1"/>
  <c r="G9" i="1"/>
  <c r="G36" i="1"/>
  <c r="H36" i="1"/>
  <c r="F37" i="1"/>
  <c r="F38" i="1" s="1"/>
  <c r="P19" i="1" l="1"/>
  <c r="N19" i="1"/>
  <c r="O19" i="1"/>
  <c r="H10" i="1"/>
  <c r="H11" i="1" s="1"/>
  <c r="Q16" i="1" s="1"/>
  <c r="G10" i="1"/>
  <c r="G11" i="1" s="1"/>
  <c r="F11" i="1"/>
  <c r="H37" i="1"/>
  <c r="Q19" i="1" s="1"/>
  <c r="P16" i="1" l="1"/>
  <c r="N16" i="1"/>
  <c r="O16" i="1"/>
</calcChain>
</file>

<file path=xl/sharedStrings.xml><?xml version="1.0" encoding="utf-8"?>
<sst xmlns="http://schemas.openxmlformats.org/spreadsheetml/2006/main" count="76" uniqueCount="30">
  <si>
    <t>JOB</t>
  </si>
  <si>
    <t>DUE DATE</t>
  </si>
  <si>
    <t>DURATION (DAYS)</t>
  </si>
  <si>
    <t>A</t>
  </si>
  <si>
    <t>B</t>
  </si>
  <si>
    <t>C</t>
  </si>
  <si>
    <t>D</t>
  </si>
  <si>
    <t>E</t>
  </si>
  <si>
    <t>START DAY</t>
  </si>
  <si>
    <t>FLOW TIME</t>
  </si>
  <si>
    <t>COMPLETION DATE</t>
  </si>
  <si>
    <t>JOB LATENESS</t>
  </si>
  <si>
    <t>A-B-C-D-E</t>
  </si>
  <si>
    <t>B–D–A–C–E</t>
  </si>
  <si>
    <t>B–A–D–C–E</t>
  </si>
  <si>
    <t>E–C–A–D–B.</t>
  </si>
  <si>
    <t>RULE</t>
  </si>
  <si>
    <t>FCFS</t>
  </si>
  <si>
    <t>SPT</t>
  </si>
  <si>
    <t>EDD</t>
  </si>
  <si>
    <t>LPT</t>
  </si>
  <si>
    <t>AVERAGE 
COMPLETION TIME</t>
  </si>
  <si>
    <t>UTILIZATION 
METRICS</t>
  </si>
  <si>
    <t>AVERAGE 
NUMBER OF JOBS</t>
  </si>
  <si>
    <t>AVERAGE 
LATENESS</t>
  </si>
  <si>
    <t>NB: SPT IS THE BEST CHOICE FOR STRATEGY</t>
  </si>
  <si>
    <t>TOTAL</t>
  </si>
  <si>
    <t>SUMMARY OF SEQUENCING JOBS</t>
  </si>
  <si>
    <t>SEQUENCING JOBS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</si>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</sst>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2" fontId="0" fillId="0" borderId="0" xfId="0" applyNumberForma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2" fontId="0" fillId="0" borderId="0" xfId="0" applyNumberFormat="1" applyBorder="1"/>
    <xf numFmtId="0" fontId="0" fillId="0" borderId="5" xfId="0" applyBorder="1"/>
    <xf numFmtId="0" fontId="0" fillId="4" borderId="4" xfId="0" applyFill="1" applyBorder="1"/>
    <xf numFmtId="0" fontId="0" fillId="4" borderId="0" xfId="0" applyFill="1" applyBorder="1"/>
    <xf numFmtId="2" fontId="0" fillId="4" borderId="0" xfId="0" applyNumberFormat="1" applyFill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1" fillId="0" borderId="0" xfId="0" applyFont="1" applyBorder="1"/>
    <xf numFmtId="0" fontId="1" fillId="5" borderId="4" xfId="0" applyFont="1" applyFill="1" applyBorder="1"/>
    <xf numFmtId="0" fontId="0" fillId="5" borderId="4" xfId="0" applyFill="1" applyBorder="1"/>
    <xf numFmtId="0" fontId="0" fillId="5" borderId="6" xfId="0" applyFill="1" applyBorder="1"/>
    <xf numFmtId="0" fontId="0" fillId="0" borderId="5" xfId="0" applyFill="1" applyBorder="1"/>
    <xf numFmtId="0" fontId="0" fillId="4" borderId="8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FE11-6EA8-446C-881C-899A1AE91BBA}">
  <dimension ref="A2:Q46"/>
  <sheetViews>
    <sheetView tabSelected="1" topLeftCell="K14" zoomScale="124" zoomScaleNormal="130" workbookViewId="0">
      <selection activeCell="J11" sqref="J11"/>
    </sheetView>
  </sheetViews>
  <sheetFormatPr defaultRowHeight="15" x14ac:dyDescent="0.25"/>
  <cols>
    <col min="1" max="1" width="11.7109375" customWidth="1"/>
    <col min="2" max="3" width="13.5703125" customWidth="1"/>
    <col min="4" max="4" width="14.7109375" customWidth="1"/>
    <col min="5" max="5" width="19.42578125" customWidth="1"/>
    <col min="6" max="6" width="12.140625" customWidth="1"/>
    <col min="7" max="7" width="19.7109375" customWidth="1"/>
    <col min="8" max="8" width="14.140625" customWidth="1"/>
    <col min="12" max="12" width="17.7109375" customWidth="1"/>
    <col min="13" max="13" width="12.7109375" customWidth="1"/>
    <col min="14" max="14" width="15.85546875" customWidth="1"/>
    <col min="15" max="15" width="12.5703125" customWidth="1"/>
  </cols>
  <sheetData>
    <row r="2" spans="1:17" ht="23.25" x14ac:dyDescent="0.35">
      <c r="B2" s="24" t="s">
        <v>28</v>
      </c>
      <c r="C2" s="24"/>
      <c r="D2" s="24"/>
      <c r="E2" s="24"/>
      <c r="F2" s="24"/>
      <c r="G2" s="24"/>
      <c r="H2" s="24"/>
    </row>
    <row r="3" spans="1:17" x14ac:dyDescent="0.25">
      <c r="B3" s="1"/>
      <c r="M3" s="1"/>
    </row>
    <row r="4" spans="1:17" x14ac:dyDescent="0.25">
      <c r="B4" s="1"/>
      <c r="K4" s="2"/>
      <c r="L4" s="3"/>
      <c r="M4" s="3"/>
      <c r="N4" s="3"/>
      <c r="O4" s="3"/>
      <c r="P4" s="4"/>
    </row>
    <row r="5" spans="1:17" x14ac:dyDescent="0.25">
      <c r="A5" s="26" t="s">
        <v>29</v>
      </c>
      <c r="B5" s="27" t="s">
        <v>0</v>
      </c>
      <c r="C5" s="27" t="s">
        <v>8</v>
      </c>
      <c r="D5" s="27" t="s">
        <v>1</v>
      </c>
      <c r="E5" s="27" t="s">
        <v>2</v>
      </c>
      <c r="F5" s="27" t="s">
        <v>9</v>
      </c>
      <c r="G5" s="27" t="s">
        <v>10</v>
      </c>
      <c r="H5" s="28" t="s">
        <v>11</v>
      </c>
      <c r="K5" s="2"/>
      <c r="L5" s="2"/>
      <c r="M5" s="2"/>
      <c r="N5" s="2"/>
      <c r="O5" s="2"/>
      <c r="P5" s="4"/>
    </row>
    <row r="6" spans="1:17" x14ac:dyDescent="0.25">
      <c r="A6" s="33" t="s">
        <v>17</v>
      </c>
      <c r="B6" s="13" t="s">
        <v>3</v>
      </c>
      <c r="C6" s="13">
        <v>275</v>
      </c>
      <c r="D6" s="13">
        <v>313</v>
      </c>
      <c r="E6" s="13">
        <v>8</v>
      </c>
      <c r="F6" s="13">
        <f>$E$6</f>
        <v>8</v>
      </c>
      <c r="G6" s="13">
        <f>C6+F6</f>
        <v>283</v>
      </c>
      <c r="H6" s="15">
        <f>MAX(0, C6+F6-D6)</f>
        <v>0</v>
      </c>
      <c r="K6" s="4"/>
      <c r="L6" s="4"/>
      <c r="M6" s="5"/>
      <c r="N6" s="5"/>
      <c r="O6" s="4"/>
      <c r="P6" s="4"/>
    </row>
    <row r="7" spans="1:17" x14ac:dyDescent="0.25">
      <c r="A7" s="33" t="s">
        <v>12</v>
      </c>
      <c r="B7" s="13" t="s">
        <v>4</v>
      </c>
      <c r="C7" s="13">
        <v>275</v>
      </c>
      <c r="D7" s="13">
        <v>312</v>
      </c>
      <c r="E7" s="13">
        <v>16</v>
      </c>
      <c r="F7" s="13">
        <f>E7+F6</f>
        <v>24</v>
      </c>
      <c r="G7" s="13">
        <f t="shared" ref="G7:G10" si="0">C7+F7</f>
        <v>299</v>
      </c>
      <c r="H7" s="15">
        <f t="shared" ref="H7:H10" si="1">MAX(0, C7+F7-D7)</f>
        <v>0</v>
      </c>
      <c r="K7" s="4"/>
      <c r="L7" s="4"/>
      <c r="M7" s="5"/>
      <c r="N7" s="5"/>
      <c r="O7" s="4"/>
      <c r="P7" s="4"/>
    </row>
    <row r="8" spans="1:17" x14ac:dyDescent="0.25">
      <c r="A8" s="34"/>
      <c r="B8" s="13" t="s">
        <v>5</v>
      </c>
      <c r="C8" s="13">
        <v>275</v>
      </c>
      <c r="D8" s="13">
        <v>325</v>
      </c>
      <c r="E8" s="13">
        <v>40</v>
      </c>
      <c r="F8" s="13">
        <f t="shared" ref="F8:F10" si="2">E8+F7</f>
        <v>64</v>
      </c>
      <c r="G8" s="13">
        <f t="shared" si="0"/>
        <v>339</v>
      </c>
      <c r="H8" s="15">
        <f t="shared" si="1"/>
        <v>14</v>
      </c>
      <c r="K8" s="4"/>
      <c r="L8" s="4"/>
      <c r="M8" s="5"/>
      <c r="N8" s="5"/>
      <c r="O8" s="4"/>
      <c r="P8" s="4"/>
    </row>
    <row r="9" spans="1:17" x14ac:dyDescent="0.25">
      <c r="A9" s="34"/>
      <c r="B9" s="13" t="s">
        <v>6</v>
      </c>
      <c r="C9" s="13">
        <v>275</v>
      </c>
      <c r="D9" s="13">
        <v>314</v>
      </c>
      <c r="E9" s="13">
        <v>5</v>
      </c>
      <c r="F9" s="13">
        <f t="shared" si="2"/>
        <v>69</v>
      </c>
      <c r="G9" s="13">
        <f t="shared" si="0"/>
        <v>344</v>
      </c>
      <c r="H9" s="15">
        <f t="shared" si="1"/>
        <v>30</v>
      </c>
      <c r="K9" s="4"/>
      <c r="L9" s="4"/>
      <c r="M9" s="5"/>
      <c r="N9" s="5"/>
      <c r="O9" s="4"/>
      <c r="P9" s="4"/>
    </row>
    <row r="10" spans="1:17" x14ac:dyDescent="0.25">
      <c r="A10" s="34"/>
      <c r="B10" s="13" t="s">
        <v>7</v>
      </c>
      <c r="C10" s="13">
        <v>275</v>
      </c>
      <c r="D10" s="13">
        <v>314</v>
      </c>
      <c r="E10" s="13">
        <v>3</v>
      </c>
      <c r="F10" s="13">
        <f t="shared" si="2"/>
        <v>72</v>
      </c>
      <c r="G10" s="13">
        <f t="shared" si="0"/>
        <v>347</v>
      </c>
      <c r="H10" s="15">
        <f t="shared" si="1"/>
        <v>33</v>
      </c>
    </row>
    <row r="11" spans="1:17" x14ac:dyDescent="0.25">
      <c r="A11" s="35"/>
      <c r="B11" s="29" t="s">
        <v>26</v>
      </c>
      <c r="C11" s="29"/>
      <c r="D11" s="29"/>
      <c r="E11" s="30">
        <f>SUM(E6:E10)</f>
        <v>72</v>
      </c>
      <c r="F11" s="30">
        <f>SUM(F6:F10)</f>
        <v>237</v>
      </c>
      <c r="G11" s="30">
        <f>SUM(G6:G10)</f>
        <v>1612</v>
      </c>
      <c r="H11" s="31">
        <f>SUM(H6:H10)</f>
        <v>77</v>
      </c>
    </row>
    <row r="12" spans="1:17" ht="21" x14ac:dyDescent="0.35">
      <c r="B12" s="1"/>
      <c r="M12" s="25" t="s">
        <v>27</v>
      </c>
      <c r="N12" s="25"/>
      <c r="O12" s="25"/>
      <c r="P12" s="25"/>
      <c r="Q12" s="25"/>
    </row>
    <row r="13" spans="1:17" x14ac:dyDescent="0.25">
      <c r="B13" s="1"/>
    </row>
    <row r="14" spans="1:17" x14ac:dyDescent="0.25">
      <c r="A14" s="26" t="s">
        <v>29</v>
      </c>
      <c r="B14" s="27" t="s">
        <v>0</v>
      </c>
      <c r="C14" s="27" t="s">
        <v>8</v>
      </c>
      <c r="D14" s="27" t="s">
        <v>1</v>
      </c>
      <c r="E14" s="27" t="s">
        <v>2</v>
      </c>
      <c r="F14" s="27" t="s">
        <v>9</v>
      </c>
      <c r="G14" s="27" t="s">
        <v>10</v>
      </c>
      <c r="H14" s="28" t="s">
        <v>11</v>
      </c>
      <c r="I14" s="13"/>
      <c r="M14" s="6" t="s">
        <v>16</v>
      </c>
      <c r="N14" s="7" t="s">
        <v>21</v>
      </c>
      <c r="O14" s="7" t="s">
        <v>22</v>
      </c>
      <c r="P14" s="7" t="s">
        <v>23</v>
      </c>
      <c r="Q14" s="8" t="s">
        <v>24</v>
      </c>
    </row>
    <row r="15" spans="1:17" x14ac:dyDescent="0.25">
      <c r="A15" s="33" t="s">
        <v>18</v>
      </c>
      <c r="B15" s="13" t="s">
        <v>4</v>
      </c>
      <c r="C15" s="13">
        <v>275</v>
      </c>
      <c r="D15" s="13">
        <v>312</v>
      </c>
      <c r="E15" s="13">
        <v>16</v>
      </c>
      <c r="F15" s="13">
        <f>$E$15</f>
        <v>16</v>
      </c>
      <c r="G15" s="13">
        <f>C15+F15</f>
        <v>291</v>
      </c>
      <c r="H15" s="15">
        <f>MAX(0, C15+F15-D15)</f>
        <v>0</v>
      </c>
      <c r="I15" s="13"/>
      <c r="M15" s="9"/>
      <c r="N15" s="10"/>
      <c r="O15" s="10"/>
      <c r="P15" s="10"/>
      <c r="Q15" s="11"/>
    </row>
    <row r="16" spans="1:17" x14ac:dyDescent="0.25">
      <c r="A16" s="33" t="s">
        <v>13</v>
      </c>
      <c r="B16" s="13" t="s">
        <v>6</v>
      </c>
      <c r="C16" s="13">
        <v>275</v>
      </c>
      <c r="D16" s="13">
        <v>314</v>
      </c>
      <c r="E16" s="13">
        <v>5</v>
      </c>
      <c r="F16" s="13">
        <f>E16+F15</f>
        <v>21</v>
      </c>
      <c r="G16" s="13">
        <f t="shared" ref="G16" si="3">C16+F16</f>
        <v>296</v>
      </c>
      <c r="H16" s="15">
        <f t="shared" ref="H16" si="4">MAX(0, C16+F16-D16)</f>
        <v>0</v>
      </c>
      <c r="I16" s="13"/>
      <c r="M16" s="12" t="s">
        <v>17</v>
      </c>
      <c r="N16" s="13">
        <f>F11/5</f>
        <v>47.4</v>
      </c>
      <c r="O16" s="14">
        <f>E11/F11</f>
        <v>0.30379746835443039</v>
      </c>
      <c r="P16" s="14">
        <f>F11/E11</f>
        <v>3.2916666666666665</v>
      </c>
      <c r="Q16" s="15">
        <f>H11/5</f>
        <v>15.4</v>
      </c>
    </row>
    <row r="17" spans="1:17" x14ac:dyDescent="0.25">
      <c r="A17" s="34"/>
      <c r="B17" s="13" t="s">
        <v>3</v>
      </c>
      <c r="C17" s="13">
        <v>275</v>
      </c>
      <c r="D17" s="13">
        <v>313</v>
      </c>
      <c r="E17" s="13">
        <v>8</v>
      </c>
      <c r="F17" s="13">
        <f>E17+F16</f>
        <v>29</v>
      </c>
      <c r="G17" s="13">
        <f>C17+F17</f>
        <v>304</v>
      </c>
      <c r="H17" s="15">
        <f>MAX(0, C17+F17-D17)</f>
        <v>0</v>
      </c>
      <c r="I17" s="13"/>
      <c r="M17" s="16" t="s">
        <v>18</v>
      </c>
      <c r="N17" s="17">
        <f>F20/5</f>
        <v>41.4</v>
      </c>
      <c r="O17" s="18">
        <f>E20/F20</f>
        <v>0.34782608695652173</v>
      </c>
      <c r="P17" s="18">
        <f>F20/E20</f>
        <v>2.875</v>
      </c>
      <c r="Q17" s="36">
        <f>H20/5</f>
        <v>10.4</v>
      </c>
    </row>
    <row r="18" spans="1:17" x14ac:dyDescent="0.25">
      <c r="A18" s="34"/>
      <c r="B18" s="13" t="s">
        <v>5</v>
      </c>
      <c r="C18" s="13">
        <v>275</v>
      </c>
      <c r="D18" s="13">
        <v>325</v>
      </c>
      <c r="E18" s="13">
        <v>40</v>
      </c>
      <c r="F18" s="13">
        <f>E18+F17</f>
        <v>69</v>
      </c>
      <c r="G18" s="13">
        <f t="shared" ref="G18:G19" si="5">C18+F18</f>
        <v>344</v>
      </c>
      <c r="H18" s="15">
        <f t="shared" ref="H18:H19" si="6">MAX(0, C18+F18-D18)</f>
        <v>19</v>
      </c>
      <c r="I18" s="13"/>
      <c r="M18" s="12" t="s">
        <v>19</v>
      </c>
      <c r="N18" s="13">
        <f>F29/5</f>
        <v>42</v>
      </c>
      <c r="O18" s="14">
        <f>E29/F29</f>
        <v>0.34285714285714286</v>
      </c>
      <c r="P18" s="14">
        <f>F29/E29</f>
        <v>2.9166666666666665</v>
      </c>
      <c r="Q18" s="36">
        <f>H29/5</f>
        <v>10.4</v>
      </c>
    </row>
    <row r="19" spans="1:17" x14ac:dyDescent="0.25">
      <c r="A19" s="34"/>
      <c r="B19" s="13" t="s">
        <v>7</v>
      </c>
      <c r="C19" s="13">
        <v>275</v>
      </c>
      <c r="D19" s="13">
        <v>314</v>
      </c>
      <c r="E19" s="13">
        <v>3</v>
      </c>
      <c r="F19" s="13">
        <f t="shared" ref="F19" si="7">E19+F18</f>
        <v>72</v>
      </c>
      <c r="G19" s="13">
        <f t="shared" si="5"/>
        <v>347</v>
      </c>
      <c r="H19" s="15">
        <f t="shared" si="6"/>
        <v>33</v>
      </c>
      <c r="I19" s="13"/>
      <c r="M19" s="19" t="s">
        <v>20</v>
      </c>
      <c r="N19" s="20">
        <f>F38/5</f>
        <v>61.2</v>
      </c>
      <c r="O19" s="21">
        <f>E38/F38</f>
        <v>0.23529411764705882</v>
      </c>
      <c r="P19" s="21">
        <f>F38/E38</f>
        <v>4.25</v>
      </c>
      <c r="Q19" s="37">
        <f>H38/5</f>
        <v>9.4</v>
      </c>
    </row>
    <row r="20" spans="1:17" x14ac:dyDescent="0.25">
      <c r="A20" s="35"/>
      <c r="B20" s="29" t="s">
        <v>26</v>
      </c>
      <c r="C20" s="29"/>
      <c r="D20" s="29"/>
      <c r="E20" s="30">
        <f>SUM(E15:E19)</f>
        <v>72</v>
      </c>
      <c r="F20" s="30">
        <f>SUM(F15:F19)</f>
        <v>207</v>
      </c>
      <c r="G20" s="30">
        <f>SUM(G15:G19)</f>
        <v>1582</v>
      </c>
      <c r="H20" s="22">
        <f>SUM(H18:H19)</f>
        <v>52</v>
      </c>
      <c r="I20" s="13"/>
      <c r="M20" s="4"/>
      <c r="N20" s="4"/>
      <c r="O20" s="4"/>
      <c r="P20" s="4"/>
      <c r="Q20" s="4"/>
    </row>
    <row r="21" spans="1:17" x14ac:dyDescent="0.25">
      <c r="A21" s="13"/>
      <c r="B21" s="32"/>
      <c r="C21" s="13"/>
      <c r="D21" s="13"/>
      <c r="E21" s="13"/>
      <c r="F21" s="13"/>
      <c r="G21" s="13"/>
      <c r="H21" s="13"/>
      <c r="I21" s="13"/>
      <c r="M21" s="23" t="s">
        <v>25</v>
      </c>
      <c r="N21" s="23"/>
      <c r="O21" s="23"/>
    </row>
    <row r="22" spans="1:17" x14ac:dyDescent="0.25">
      <c r="A22" s="13"/>
      <c r="B22" s="32"/>
      <c r="C22" s="13"/>
      <c r="D22" s="13"/>
      <c r="E22" s="13"/>
      <c r="F22" s="13"/>
      <c r="G22" s="13"/>
      <c r="H22" s="13"/>
      <c r="I22" s="13"/>
    </row>
    <row r="23" spans="1:17" x14ac:dyDescent="0.25">
      <c r="A23" s="26" t="s">
        <v>29</v>
      </c>
      <c r="B23" s="27" t="s">
        <v>0</v>
      </c>
      <c r="C23" s="27" t="s">
        <v>8</v>
      </c>
      <c r="D23" s="27" t="s">
        <v>1</v>
      </c>
      <c r="E23" s="27" t="s">
        <v>2</v>
      </c>
      <c r="F23" s="27" t="s">
        <v>9</v>
      </c>
      <c r="G23" s="27" t="s">
        <v>10</v>
      </c>
      <c r="H23" s="28" t="s">
        <v>11</v>
      </c>
      <c r="I23" s="13"/>
    </row>
    <row r="24" spans="1:17" x14ac:dyDescent="0.25">
      <c r="A24" s="33" t="s">
        <v>19</v>
      </c>
      <c r="B24" s="13" t="s">
        <v>4</v>
      </c>
      <c r="C24" s="13">
        <v>275</v>
      </c>
      <c r="D24" s="13">
        <v>312</v>
      </c>
      <c r="E24" s="13">
        <v>16</v>
      </c>
      <c r="F24" s="13">
        <f>$E$15</f>
        <v>16</v>
      </c>
      <c r="G24" s="13">
        <f>C24+F24</f>
        <v>291</v>
      </c>
      <c r="H24" s="15">
        <f>MAX(0, C24+F24-D24)</f>
        <v>0</v>
      </c>
      <c r="I24" s="13"/>
    </row>
    <row r="25" spans="1:17" x14ac:dyDescent="0.25">
      <c r="A25" s="33" t="s">
        <v>14</v>
      </c>
      <c r="B25" s="13" t="s">
        <v>3</v>
      </c>
      <c r="C25" s="13">
        <v>275</v>
      </c>
      <c r="D25" s="13">
        <v>313</v>
      </c>
      <c r="E25" s="13">
        <v>8</v>
      </c>
      <c r="F25" s="13">
        <f>E25+F24</f>
        <v>24</v>
      </c>
      <c r="G25" s="13">
        <f>C25+F25</f>
        <v>299</v>
      </c>
      <c r="H25" s="15">
        <f>MAX(0, C25+F25-D25)</f>
        <v>0</v>
      </c>
      <c r="I25" s="13"/>
    </row>
    <row r="26" spans="1:17" x14ac:dyDescent="0.25">
      <c r="A26" s="34"/>
      <c r="B26" s="13" t="s">
        <v>6</v>
      </c>
      <c r="C26" s="13">
        <v>275</v>
      </c>
      <c r="D26" s="13">
        <v>314</v>
      </c>
      <c r="E26" s="13">
        <v>5</v>
      </c>
      <c r="F26" s="13">
        <f>E26+F25</f>
        <v>29</v>
      </c>
      <c r="G26" s="13">
        <f>C26+F26</f>
        <v>304</v>
      </c>
      <c r="H26" s="15">
        <f>MAX(0, C26+F26-D26)</f>
        <v>0</v>
      </c>
      <c r="I26" s="13"/>
    </row>
    <row r="27" spans="1:17" x14ac:dyDescent="0.25">
      <c r="A27" s="34"/>
      <c r="B27" s="13" t="s">
        <v>5</v>
      </c>
      <c r="C27" s="13">
        <v>275</v>
      </c>
      <c r="D27" s="13">
        <v>325</v>
      </c>
      <c r="E27" s="13">
        <v>40</v>
      </c>
      <c r="F27" s="13">
        <f>E27+F26</f>
        <v>69</v>
      </c>
      <c r="G27" s="13">
        <f t="shared" ref="G27:G28" si="8">C27+F27</f>
        <v>344</v>
      </c>
      <c r="H27" s="15">
        <f>MAX(0, C27+F27-D27)</f>
        <v>19</v>
      </c>
      <c r="I27" s="13"/>
    </row>
    <row r="28" spans="1:17" x14ac:dyDescent="0.25">
      <c r="A28" s="34"/>
      <c r="B28" s="13" t="s">
        <v>7</v>
      </c>
      <c r="C28" s="13">
        <v>275</v>
      </c>
      <c r="D28" s="13">
        <v>314</v>
      </c>
      <c r="E28" s="13">
        <v>3</v>
      </c>
      <c r="F28" s="13">
        <f t="shared" ref="F28" si="9">E28+F27</f>
        <v>72</v>
      </c>
      <c r="G28" s="13">
        <f t="shared" si="8"/>
        <v>347</v>
      </c>
      <c r="H28" s="15">
        <f t="shared" ref="H28" si="10">MAX(0, C28+F28-D28)</f>
        <v>33</v>
      </c>
      <c r="I28" s="13"/>
    </row>
    <row r="29" spans="1:17" x14ac:dyDescent="0.25">
      <c r="A29" s="35"/>
      <c r="B29" s="29" t="s">
        <v>26</v>
      </c>
      <c r="C29" s="29"/>
      <c r="D29" s="29"/>
      <c r="E29" s="30">
        <f>SUM(E24:E28)</f>
        <v>72</v>
      </c>
      <c r="F29" s="30">
        <f>SUM(F24:F28)</f>
        <v>210</v>
      </c>
      <c r="G29" s="30">
        <f>SUM(G24:G28)</f>
        <v>1585</v>
      </c>
      <c r="H29" s="31">
        <f>SUM(H27:H28)</f>
        <v>52</v>
      </c>
      <c r="I29" s="13"/>
    </row>
    <row r="30" spans="1:17" x14ac:dyDescent="0.25">
      <c r="A30" s="13"/>
      <c r="B30" s="32"/>
      <c r="C30" s="13"/>
      <c r="D30" s="13"/>
      <c r="E30" s="13"/>
      <c r="F30" s="13"/>
      <c r="G30" s="13"/>
      <c r="H30" s="13"/>
      <c r="I30" s="13"/>
      <c r="J30" s="13"/>
    </row>
    <row r="31" spans="1:17" x14ac:dyDescent="0.25">
      <c r="B31" s="1"/>
      <c r="I31" s="13"/>
      <c r="J31" s="13"/>
    </row>
    <row r="32" spans="1:17" x14ac:dyDescent="0.25">
      <c r="A32" s="26" t="s">
        <v>29</v>
      </c>
      <c r="B32" s="27" t="s">
        <v>0</v>
      </c>
      <c r="C32" s="27" t="s">
        <v>8</v>
      </c>
      <c r="D32" s="27" t="s">
        <v>1</v>
      </c>
      <c r="E32" s="27" t="s">
        <v>2</v>
      </c>
      <c r="F32" s="27" t="s">
        <v>9</v>
      </c>
      <c r="G32" s="27" t="s">
        <v>10</v>
      </c>
      <c r="H32" s="28" t="s">
        <v>11</v>
      </c>
      <c r="I32" s="13"/>
      <c r="J32" s="13"/>
    </row>
    <row r="33" spans="1:10" x14ac:dyDescent="0.25">
      <c r="A33" s="33" t="s">
        <v>20</v>
      </c>
      <c r="B33" s="13" t="s">
        <v>7</v>
      </c>
      <c r="C33" s="13">
        <v>275</v>
      </c>
      <c r="D33" s="13">
        <v>314</v>
      </c>
      <c r="E33" s="13">
        <v>3</v>
      </c>
      <c r="F33" s="13">
        <f>E$33</f>
        <v>3</v>
      </c>
      <c r="G33" s="13">
        <f>C33+F33</f>
        <v>278</v>
      </c>
      <c r="H33" s="15">
        <f>MAX(0, C33+F33-D33)</f>
        <v>0</v>
      </c>
      <c r="I33" s="13"/>
      <c r="J33" s="13"/>
    </row>
    <row r="34" spans="1:10" x14ac:dyDescent="0.25">
      <c r="A34" s="33" t="s">
        <v>15</v>
      </c>
      <c r="B34" s="13" t="s">
        <v>5</v>
      </c>
      <c r="C34" s="13">
        <v>275</v>
      </c>
      <c r="D34" s="13">
        <v>325</v>
      </c>
      <c r="E34" s="13">
        <v>40</v>
      </c>
      <c r="F34" s="13">
        <f>E34+F33</f>
        <v>43</v>
      </c>
      <c r="G34" s="13">
        <f>C34+F34</f>
        <v>318</v>
      </c>
      <c r="H34" s="15">
        <f>MAX(0, C34+F34-D34)</f>
        <v>0</v>
      </c>
      <c r="I34" s="13"/>
      <c r="J34" s="13"/>
    </row>
    <row r="35" spans="1:10" x14ac:dyDescent="0.25">
      <c r="A35" s="34"/>
      <c r="B35" s="13" t="s">
        <v>3</v>
      </c>
      <c r="C35" s="13">
        <v>275</v>
      </c>
      <c r="D35" s="13">
        <v>313</v>
      </c>
      <c r="E35" s="13">
        <v>8</v>
      </c>
      <c r="F35" s="13">
        <f t="shared" ref="F35:F36" si="11">E35+F34</f>
        <v>51</v>
      </c>
      <c r="G35" s="13">
        <f>C35+F35</f>
        <v>326</v>
      </c>
      <c r="H35" s="15">
        <f>MAX(0, C35+F35-D35)</f>
        <v>13</v>
      </c>
      <c r="I35" s="13"/>
      <c r="J35" s="13"/>
    </row>
    <row r="36" spans="1:10" x14ac:dyDescent="0.25">
      <c r="A36" s="34"/>
      <c r="B36" s="13" t="s">
        <v>6</v>
      </c>
      <c r="C36" s="13">
        <v>275</v>
      </c>
      <c r="D36" s="13">
        <v>314</v>
      </c>
      <c r="E36" s="13">
        <v>5</v>
      </c>
      <c r="F36" s="13">
        <f t="shared" si="11"/>
        <v>56</v>
      </c>
      <c r="G36" s="13">
        <f t="shared" ref="G36" si="12">C36+F36</f>
        <v>331</v>
      </c>
      <c r="H36" s="15">
        <f>MAX(0, C36+F36-D36)</f>
        <v>17</v>
      </c>
      <c r="I36" s="13"/>
      <c r="J36" s="13"/>
    </row>
    <row r="37" spans="1:10" x14ac:dyDescent="0.25">
      <c r="A37" s="34"/>
      <c r="B37" s="13" t="s">
        <v>4</v>
      </c>
      <c r="C37" s="13">
        <v>275</v>
      </c>
      <c r="D37" s="13">
        <v>312</v>
      </c>
      <c r="E37" s="13">
        <v>16</v>
      </c>
      <c r="F37" s="13">
        <f>SUM(F33:F36)</f>
        <v>153</v>
      </c>
      <c r="G37" s="13">
        <f>SUM(G33:G36)</f>
        <v>1253</v>
      </c>
      <c r="H37" s="15">
        <f>SUM(H36:H36)</f>
        <v>17</v>
      </c>
      <c r="I37" s="13"/>
      <c r="J37" s="13"/>
    </row>
    <row r="38" spans="1:10" x14ac:dyDescent="0.25">
      <c r="A38" s="35"/>
      <c r="B38" s="29" t="s">
        <v>26</v>
      </c>
      <c r="C38" s="29"/>
      <c r="D38" s="29"/>
      <c r="E38" s="30">
        <f>SUM(E33:E37)</f>
        <v>72</v>
      </c>
      <c r="F38" s="30">
        <f>SUM(F33:F37)</f>
        <v>306</v>
      </c>
      <c r="G38" s="30">
        <f>SUM(G33:G37)</f>
        <v>2506</v>
      </c>
      <c r="H38" s="31">
        <f>SUM(H33:H37)</f>
        <v>47</v>
      </c>
      <c r="I38" s="13"/>
      <c r="J38" s="13"/>
    </row>
    <row r="39" spans="1:10" x14ac:dyDescent="0.25">
      <c r="I39" s="13"/>
      <c r="J39" s="13"/>
    </row>
    <row r="40" spans="1:10" x14ac:dyDescent="0.25">
      <c r="I40" s="13"/>
      <c r="J40" s="13"/>
    </row>
    <row r="41" spans="1:10" x14ac:dyDescent="0.25">
      <c r="I41" s="13"/>
      <c r="J41" s="13"/>
    </row>
    <row r="42" spans="1:10" x14ac:dyDescent="0.25">
      <c r="I42" s="13"/>
      <c r="J42" s="13"/>
    </row>
    <row r="43" spans="1:10" x14ac:dyDescent="0.25">
      <c r="I43" s="13"/>
      <c r="J43" s="13"/>
    </row>
    <row r="44" spans="1:10" x14ac:dyDescent="0.25">
      <c r="I44" s="13"/>
      <c r="J44" s="13"/>
    </row>
    <row r="45" spans="1:10" x14ac:dyDescent="0.25">
      <c r="I45" s="13"/>
      <c r="J45" s="13"/>
    </row>
    <row r="46" spans="1:10" x14ac:dyDescent="0.25">
      <c r="I46" s="13"/>
      <c r="J46" s="13"/>
    </row>
  </sheetData>
  <mergeCells count="17">
    <mergeCell ref="P14:P15"/>
    <mergeCell ref="Q14:Q15"/>
    <mergeCell ref="M21:O21"/>
    <mergeCell ref="M12:Q12"/>
    <mergeCell ref="B2:H2"/>
    <mergeCell ref="L4:L5"/>
    <mergeCell ref="M4:M5"/>
    <mergeCell ref="N4:N5"/>
    <mergeCell ref="O4:O5"/>
    <mergeCell ref="M14:M15"/>
    <mergeCell ref="N14:N15"/>
    <mergeCell ref="O14:O15"/>
    <mergeCell ref="B11:D11"/>
    <mergeCell ref="B20:D20"/>
    <mergeCell ref="B29:D29"/>
    <mergeCell ref="B38:D38"/>
    <mergeCell ref="K4:K5"/>
  </mergeCells>
  <conditionalFormatting sqref="H6:H12 H33:H38">
    <cfRule type="cellIs" dxfId="5" priority="29" operator="lessThan">
      <formula>0</formula>
    </cfRule>
    <cfRule type="cellIs" dxfId="4" priority="30" operator="greaterThan">
      <formula>0</formula>
    </cfRule>
  </conditionalFormatting>
  <conditionalFormatting sqref="H15:H22">
    <cfRule type="cellIs" dxfId="3" priority="21" operator="lessThan">
      <formula>0</formula>
    </cfRule>
    <cfRule type="cellIs" dxfId="2" priority="22" operator="greaterThan">
      <formula>0</formula>
    </cfRule>
  </conditionalFormatting>
  <conditionalFormatting sqref="H24:H30">
    <cfRule type="cellIs" dxfId="1" priority="13" operator="lessThan">
      <formula>0</formula>
    </cfRule>
    <cfRule type="cellIs" dxfId="0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2026-10-07T02:41:04Z</dcterms:created>
  <dcterms:modified xsi:type="dcterms:W3CDTF">2026-10-08T01:37:35Z</dcterms:modified>
</cp:coreProperties>
</file>